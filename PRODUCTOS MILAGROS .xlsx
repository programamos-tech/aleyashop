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MILAGROS" sheetId="1" r:id="rId4"/>
    <sheet state="visible" name="CONCEPTOS DE GASTOS" sheetId="2" r:id="rId5"/>
    <sheet state="visible" name="CONCEPTO IMPUESTOS Y TRUB." sheetId="3" r:id="rId6"/>
  </sheets>
  <definedNames/>
  <calcPr/>
  <extLst>
    <ext uri="GoogleSheetsCustomDataVersion2">
      <go:sheetsCustomData xmlns:go="http://customooxmlschemas.google.com/" r:id="rId7" roundtripDataChecksum="U9jSZ+osftwkWQ8pP2+wWgguafsmyd9Vq7RCDVpTwNs="/>
    </ext>
  </extLst>
</workbook>
</file>

<file path=xl/sharedStrings.xml><?xml version="1.0" encoding="utf-8"?>
<sst xmlns="http://schemas.openxmlformats.org/spreadsheetml/2006/main" count="100" uniqueCount="99">
  <si>
    <t>Nro.</t>
  </si>
  <si>
    <t xml:space="preserve">Producto </t>
  </si>
  <si>
    <t xml:space="preserve">COST COMPRA ANTES IVA </t>
  </si>
  <si>
    <t>IVA</t>
  </si>
  <si>
    <t xml:space="preserve">COSTO COMPRA CON IVA </t>
  </si>
  <si>
    <t xml:space="preserve">COST VENTA ANTES DE IVA </t>
  </si>
  <si>
    <t xml:space="preserve">COSTO VENTA CON IVA </t>
  </si>
  <si>
    <t xml:space="preserve">CHAMPU ULTRA NUTRITIVO </t>
  </si>
  <si>
    <t>CHAMPU ANTI-CASPA</t>
  </si>
  <si>
    <t xml:space="preserve">CHAMPU MAGIA CAPILAR </t>
  </si>
  <si>
    <t xml:space="preserve">CHAMPU EMERGENCIA CAPILAR </t>
  </si>
  <si>
    <t xml:space="preserve">CHAMPU  KIDS </t>
  </si>
  <si>
    <t>SHAMPO MILAGRO HERBAL</t>
  </si>
  <si>
    <t>SHAMPO ARROZ</t>
  </si>
  <si>
    <t xml:space="preserve">SHAMPOO EXFOLIANTE CAPILAR	</t>
  </si>
  <si>
    <t xml:space="preserve">SHAMPOO DE CEBOLLA </t>
  </si>
  <si>
    <t xml:space="preserve">ACONDICIONADOR DE CEBOLLA </t>
  </si>
  <si>
    <t>ACONDICIONADOR HERBAL</t>
  </si>
  <si>
    <t>ACONDICIONADOR ARROZ</t>
  </si>
  <si>
    <t xml:space="preserve">BIO REPOLARIZADOR CAPILAR </t>
  </si>
  <si>
    <t xml:space="preserve">TRATAM  FRUTAS </t>
  </si>
  <si>
    <t>TRATAM EMERGENCIA</t>
  </si>
  <si>
    <t>TRATAM DESENREDANTE  MORADO</t>
  </si>
  <si>
    <t>TRATAM DESENREDANTE  MARTINA</t>
  </si>
  <si>
    <t>TRATAM DESENREDANTE  GOLD</t>
  </si>
  <si>
    <t>MASCARILLA REPARACIÓN INTENSIVA</t>
  </si>
  <si>
    <t xml:space="preserve">TRATAM RIZOS </t>
  </si>
  <si>
    <t>MASCARILLA MILAGRO HERBAL</t>
  </si>
  <si>
    <t>TRATAMIENTO MAGIA</t>
  </si>
  <si>
    <t>MASCARILLA MULTIVITAMINICA</t>
  </si>
  <si>
    <t xml:space="preserve">MASCARILLA DE CEBOLLA </t>
  </si>
  <si>
    <t xml:space="preserve">PROTECTOR SOLAR CON COLOR </t>
  </si>
  <si>
    <t xml:space="preserve">PROTECTOR SOLAR SIN COLOR </t>
  </si>
  <si>
    <t>GOTAS MAGICAS</t>
  </si>
  <si>
    <t>TONICO CAPILAR</t>
  </si>
  <si>
    <t>SERUM REVITALIZANTE</t>
  </si>
  <si>
    <t>DOYPACK SHAMPO KIDS</t>
  </si>
  <si>
    <t>DOYPACK SHAMPO MAGIA</t>
  </si>
  <si>
    <t>DOYPACK CHAMPU EMERGENCIA</t>
  </si>
  <si>
    <t>DOYPACK TRATAMIENTO FRUTAS</t>
  </si>
  <si>
    <t>DOYPACK BIOREPOLARIZADOR</t>
  </si>
  <si>
    <t>DOYPACK MASCARILLA HERBAL</t>
  </si>
  <si>
    <t>DOYPACK TT EMERGENCIA</t>
  </si>
  <si>
    <t>DOYPACK ANTICASPA</t>
  </si>
  <si>
    <t xml:space="preserve">DOYPACK ACONDICIONADOR HERBAL </t>
  </si>
  <si>
    <t xml:space="preserve">CHAMPU EN SECO VOLUMINIZADOR </t>
  </si>
  <si>
    <t>SERUM CORPORAL</t>
  </si>
  <si>
    <t>RESCATE INSTANTANEO AZUL</t>
  </si>
  <si>
    <t>RESCATE INSTANTANEO ROSADO ELIXIR</t>
  </si>
  <si>
    <t>HAIR WAX CERA CAPILAR</t>
  </si>
  <si>
    <t>PERFUME CAPILAR MAJESTUOSA</t>
  </si>
  <si>
    <t>PERFUME CAPILAR SUBLIME</t>
  </si>
  <si>
    <t>PERFUME BALI</t>
  </si>
  <si>
    <t>PERFUME IRRESISTIBLE</t>
  </si>
  <si>
    <t xml:space="preserve">PERFUME EDICIÓN MARTINA </t>
  </si>
  <si>
    <t>PERFUME GOLD</t>
  </si>
  <si>
    <t xml:space="preserve">LOCIÓN CORPORAL MILAGROS </t>
  </si>
  <si>
    <t>SERUM PARA PESTAÑAS</t>
  </si>
  <si>
    <t xml:space="preserve">ACONDICIONADOR ULTRA </t>
  </si>
  <si>
    <t>KIT MINIPERFUMES</t>
  </si>
  <si>
    <t>CREMA INTIDUNN</t>
  </si>
  <si>
    <t xml:space="preserve">SERUM FACIAL </t>
  </si>
  <si>
    <t>CREMA  NUTRYCLARANT</t>
  </si>
  <si>
    <t>CREMA CORPORAL IDUNN</t>
  </si>
  <si>
    <t>EXFOLIANTE ROSTRO IDUNN</t>
  </si>
  <si>
    <t>DEPILRADORA</t>
  </si>
  <si>
    <t>CEPILLO ANTI-ENREDOS MORADO</t>
  </si>
  <si>
    <t>CEPILLO ANTI-ENREDOS BEIGE</t>
  </si>
  <si>
    <t>COSMETIQUERA MILAGROS INDIVIDUAL</t>
  </si>
  <si>
    <t>COSMETIQUERA MORADA INDIVIDUAL</t>
  </si>
  <si>
    <t xml:space="preserve">BIOREPOLARIZADOR LITRO </t>
  </si>
  <si>
    <t>BOLSAS TALEGO BIODEGRADABLE</t>
  </si>
  <si>
    <t>MINIPERFUMES</t>
  </si>
  <si>
    <t>SUELDO/NOMINA</t>
  </si>
  <si>
    <t xml:space="preserve">ADMINISTRACIÓN </t>
  </si>
  <si>
    <t>ARRIENDO</t>
  </si>
  <si>
    <t xml:space="preserve">SERVICIO PÚBLICO </t>
  </si>
  <si>
    <t>LINEA CORPORATIVA</t>
  </si>
  <si>
    <t>PERSONAL TURNOS</t>
  </si>
  <si>
    <t xml:space="preserve">SEGURIDAD SOCIAL </t>
  </si>
  <si>
    <t>DOMICILIOS PROPIOS</t>
  </si>
  <si>
    <t>FLETE</t>
  </si>
  <si>
    <t xml:space="preserve">MATERIAL/ INSUMOS  Y PAPELERÍA </t>
  </si>
  <si>
    <t>DATAFONO y 4xMIL</t>
  </si>
  <si>
    <t xml:space="preserve">HONORARIOS CONTABILIDAD </t>
  </si>
  <si>
    <t>VIATICOS/GASTOS REPRESENTACIÓN</t>
  </si>
  <si>
    <t xml:space="preserve">PUBLICIDAD </t>
  </si>
  <si>
    <t>SOPORTE WEB CONTAPYME</t>
  </si>
  <si>
    <t>ARREGLOS LOCATIVOS</t>
  </si>
  <si>
    <t>INTERESES X PRESTAMOS</t>
  </si>
  <si>
    <t>PAGO A PRESTAMO</t>
  </si>
  <si>
    <t>PRESTACIONES SOCIALES</t>
  </si>
  <si>
    <t>RENOVACIÓN SIGO NOMINA</t>
  </si>
  <si>
    <t>CAMARA DE COMERCIO</t>
  </si>
  <si>
    <t xml:space="preserve">PAGO POR TRANSACCIÓN MILAGROS </t>
  </si>
  <si>
    <t xml:space="preserve">BOLSAS MILAGROS </t>
  </si>
  <si>
    <t xml:space="preserve">SEGURO LOCAL Y MERCANCIA PROTEGIDA </t>
  </si>
  <si>
    <t xml:space="preserve">IMPUESTOS DIAN </t>
  </si>
  <si>
    <t>IMPUESTO INDUSTRIA Y COMERCIO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</si>
</sst>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_-;\-&quot;$&quot;\ * #,##0_-;_-&quot;$&quot;\ * &quot;-&quot;??_-;_-@"/>
    <numFmt numFmtId="165" formatCode="_-&quot;$&quot;* #,##0_-;\-&quot;$&quot;* #,##0_-;_-&quot;$&quot;* &quot;-&quot;_-;_-@"/>
    <numFmt numFmtId="166" formatCode="&quot;$&quot;#,##0.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Open Sans"/>
    </font>
    <font>
      <sz val="12.0"/>
      <color theme="1"/>
      <name val="Calibri"/>
    </font>
    <font>
      <sz val="8.0"/>
      <color rgb="FF000000"/>
      <name val="Open Sans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0" fillId="0" fontId="3" numFmtId="164" xfId="0" applyFont="1" applyNumberFormat="1"/>
    <xf borderId="0" fillId="0" fontId="3" numFmtId="165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2" numFmtId="3" xfId="0" applyAlignment="1" applyFont="1" applyNumberForma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2" numFmtId="3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1.86"/>
    <col customWidth="1" min="3" max="3" width="13.71"/>
    <col customWidth="1" min="4" max="4" width="11.0"/>
    <col customWidth="1" min="5" max="5" width="15.0"/>
    <col customWidth="1" min="6" max="6" width="16.43"/>
    <col customWidth="1" min="7" max="8" width="12.14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</row>
    <row r="2" ht="17.25" customHeight="1">
      <c r="A2" s="2">
        <v>1.0</v>
      </c>
      <c r="B2" s="3" t="s">
        <v>7</v>
      </c>
      <c r="C2" s="4">
        <v>19009.0</v>
      </c>
      <c r="D2" s="4">
        <f t="shared" ref="D2:D67" si="1">C2*19%</f>
        <v>3611.71</v>
      </c>
      <c r="E2" s="5">
        <f t="shared" ref="E2:E67" si="2">+C2+D2</f>
        <v>22620.71</v>
      </c>
      <c r="F2" s="5">
        <v>28487.0</v>
      </c>
      <c r="G2" s="5">
        <f t="shared" ref="G2:G67" si="3">F2*19%</f>
        <v>5412.53</v>
      </c>
      <c r="H2" s="5">
        <f t="shared" ref="H2:H67" si="4">F2+G2</f>
        <v>33899.53</v>
      </c>
    </row>
    <row r="3" ht="17.25" customHeight="1">
      <c r="A3" s="6">
        <v>2.0</v>
      </c>
      <c r="B3" s="3" t="s">
        <v>8</v>
      </c>
      <c r="C3" s="4">
        <v>18753.0</v>
      </c>
      <c r="D3" s="4">
        <f t="shared" si="1"/>
        <v>3563.07</v>
      </c>
      <c r="E3" s="5">
        <f t="shared" si="2"/>
        <v>22316.07</v>
      </c>
      <c r="F3" s="5">
        <v>27647.0</v>
      </c>
      <c r="G3" s="5">
        <f t="shared" si="3"/>
        <v>5252.93</v>
      </c>
      <c r="H3" s="5">
        <f t="shared" si="4"/>
        <v>32899.93</v>
      </c>
    </row>
    <row r="4" ht="17.25" customHeight="1">
      <c r="A4" s="6">
        <v>3.0</v>
      </c>
      <c r="B4" s="7" t="s">
        <v>9</v>
      </c>
      <c r="C4" s="4">
        <v>18753.0</v>
      </c>
      <c r="D4" s="4">
        <f t="shared" si="1"/>
        <v>3563.07</v>
      </c>
      <c r="E4" s="5">
        <f t="shared" si="2"/>
        <v>22316.07</v>
      </c>
      <c r="F4" s="5">
        <v>27647.0</v>
      </c>
      <c r="G4" s="5">
        <f t="shared" si="3"/>
        <v>5252.93</v>
      </c>
      <c r="H4" s="5">
        <f t="shared" si="4"/>
        <v>32899.93</v>
      </c>
    </row>
    <row r="5" ht="17.25" customHeight="1">
      <c r="A5" s="2">
        <v>4.0</v>
      </c>
      <c r="B5" s="7" t="s">
        <v>10</v>
      </c>
      <c r="C5" s="4">
        <v>18753.0</v>
      </c>
      <c r="D5" s="4">
        <f t="shared" si="1"/>
        <v>3563.07</v>
      </c>
      <c r="E5" s="5">
        <f t="shared" si="2"/>
        <v>22316.07</v>
      </c>
      <c r="F5" s="5">
        <v>27647.0</v>
      </c>
      <c r="G5" s="5">
        <f t="shared" si="3"/>
        <v>5252.93</v>
      </c>
      <c r="H5" s="5">
        <f t="shared" si="4"/>
        <v>32899.93</v>
      </c>
    </row>
    <row r="6" ht="17.25" customHeight="1">
      <c r="A6" s="6">
        <v>5.0</v>
      </c>
      <c r="B6" s="7" t="s">
        <v>11</v>
      </c>
      <c r="C6" s="4">
        <v>18753.0</v>
      </c>
      <c r="D6" s="4">
        <f t="shared" si="1"/>
        <v>3563.07</v>
      </c>
      <c r="E6" s="5">
        <f t="shared" si="2"/>
        <v>22316.07</v>
      </c>
      <c r="F6" s="5">
        <v>27647.0</v>
      </c>
      <c r="G6" s="5">
        <f t="shared" si="3"/>
        <v>5252.93</v>
      </c>
      <c r="H6" s="5">
        <f t="shared" si="4"/>
        <v>32899.93</v>
      </c>
    </row>
    <row r="7" ht="17.25" customHeight="1">
      <c r="A7" s="6">
        <v>6.0</v>
      </c>
      <c r="B7" s="7" t="s">
        <v>12</v>
      </c>
      <c r="C7" s="4">
        <v>19156.0</v>
      </c>
      <c r="D7" s="4">
        <f t="shared" si="1"/>
        <v>3639.64</v>
      </c>
      <c r="E7" s="5">
        <f t="shared" si="2"/>
        <v>22795.64</v>
      </c>
      <c r="F7" s="5">
        <v>28487.0</v>
      </c>
      <c r="G7" s="5">
        <f t="shared" si="3"/>
        <v>5412.53</v>
      </c>
      <c r="H7" s="5">
        <f t="shared" si="4"/>
        <v>33899.53</v>
      </c>
    </row>
    <row r="8" ht="17.25" customHeight="1">
      <c r="A8" s="2">
        <v>7.0</v>
      </c>
      <c r="B8" s="7" t="s">
        <v>13</v>
      </c>
      <c r="C8" s="4">
        <v>22912.0</v>
      </c>
      <c r="D8" s="4">
        <f t="shared" si="1"/>
        <v>4353.28</v>
      </c>
      <c r="E8" s="5">
        <f t="shared" si="2"/>
        <v>27265.28</v>
      </c>
      <c r="F8" s="5">
        <v>29328.0</v>
      </c>
      <c r="G8" s="5">
        <f t="shared" si="3"/>
        <v>5572.32</v>
      </c>
      <c r="H8" s="5">
        <f t="shared" si="4"/>
        <v>34900.32</v>
      </c>
    </row>
    <row r="9" ht="17.25" customHeight="1">
      <c r="A9" s="6">
        <v>8.0</v>
      </c>
      <c r="B9" s="8" t="s">
        <v>14</v>
      </c>
      <c r="C9" s="4">
        <v>16660.0</v>
      </c>
      <c r="D9" s="4">
        <f t="shared" si="1"/>
        <v>3165.4</v>
      </c>
      <c r="E9" s="5">
        <f t="shared" si="2"/>
        <v>19825.4</v>
      </c>
      <c r="F9" s="5">
        <v>26891.0</v>
      </c>
      <c r="G9" s="5">
        <f t="shared" si="3"/>
        <v>5109.29</v>
      </c>
      <c r="H9" s="5">
        <f t="shared" si="4"/>
        <v>32000.29</v>
      </c>
    </row>
    <row r="10" ht="17.25" customHeight="1">
      <c r="A10" s="6">
        <v>9.0</v>
      </c>
      <c r="B10" s="7" t="s">
        <v>15</v>
      </c>
      <c r="C10" s="4">
        <v>20850.0</v>
      </c>
      <c r="D10" s="4">
        <f t="shared" si="1"/>
        <v>3961.5</v>
      </c>
      <c r="E10" s="5">
        <f t="shared" si="2"/>
        <v>24811.5</v>
      </c>
      <c r="F10" s="5">
        <v>33529.0</v>
      </c>
      <c r="G10" s="5">
        <f t="shared" si="3"/>
        <v>6370.51</v>
      </c>
      <c r="H10" s="5">
        <f t="shared" si="4"/>
        <v>39899.51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17.25" customHeight="1">
      <c r="A11" s="2">
        <v>10.0</v>
      </c>
      <c r="B11" s="7" t="s">
        <v>16</v>
      </c>
      <c r="C11" s="4">
        <v>18230.0</v>
      </c>
      <c r="D11" s="4">
        <f t="shared" si="1"/>
        <v>3463.7</v>
      </c>
      <c r="E11" s="5">
        <f t="shared" si="2"/>
        <v>21693.7</v>
      </c>
      <c r="F11" s="5">
        <v>29328.0</v>
      </c>
      <c r="G11" s="5">
        <f t="shared" si="3"/>
        <v>5572.32</v>
      </c>
      <c r="H11" s="5">
        <f t="shared" si="4"/>
        <v>34900.32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17.25" customHeight="1">
      <c r="A12" s="6">
        <v>11.0</v>
      </c>
      <c r="B12" s="7" t="s">
        <v>17</v>
      </c>
      <c r="C12" s="4">
        <v>18580.0</v>
      </c>
      <c r="D12" s="4">
        <f t="shared" si="1"/>
        <v>3530.2</v>
      </c>
      <c r="E12" s="5">
        <f t="shared" si="2"/>
        <v>22110.2</v>
      </c>
      <c r="F12" s="5">
        <v>27731.0</v>
      </c>
      <c r="G12" s="5">
        <f t="shared" si="3"/>
        <v>5268.89</v>
      </c>
      <c r="H12" s="5">
        <f t="shared" si="4"/>
        <v>32999.89</v>
      </c>
    </row>
    <row r="13" ht="17.25" customHeight="1">
      <c r="A13" s="6">
        <v>12.0</v>
      </c>
      <c r="B13" s="7" t="s">
        <v>18</v>
      </c>
      <c r="C13" s="4">
        <v>23422.0</v>
      </c>
      <c r="D13" s="4">
        <f t="shared" si="1"/>
        <v>4450.18</v>
      </c>
      <c r="E13" s="5">
        <f t="shared" si="2"/>
        <v>27872.18</v>
      </c>
      <c r="F13" s="5">
        <v>30252.0</v>
      </c>
      <c r="G13" s="5">
        <f t="shared" si="3"/>
        <v>5747.88</v>
      </c>
      <c r="H13" s="5">
        <f t="shared" si="4"/>
        <v>35999.88</v>
      </c>
    </row>
    <row r="14" ht="17.25" customHeight="1">
      <c r="A14" s="2">
        <v>13.0</v>
      </c>
      <c r="B14" s="7" t="s">
        <v>19</v>
      </c>
      <c r="C14" s="4">
        <v>19468.0</v>
      </c>
      <c r="D14" s="4">
        <f t="shared" si="1"/>
        <v>3698.92</v>
      </c>
      <c r="E14" s="5">
        <f t="shared" si="2"/>
        <v>23166.92</v>
      </c>
      <c r="F14" s="5">
        <v>29328.0</v>
      </c>
      <c r="G14" s="5">
        <f t="shared" si="3"/>
        <v>5572.32</v>
      </c>
      <c r="H14" s="5">
        <f t="shared" si="4"/>
        <v>34900.32</v>
      </c>
    </row>
    <row r="15" ht="17.25" customHeight="1">
      <c r="A15" s="6">
        <v>14.0</v>
      </c>
      <c r="B15" s="7" t="s">
        <v>20</v>
      </c>
      <c r="C15" s="4">
        <v>18720.0</v>
      </c>
      <c r="D15" s="4">
        <f t="shared" si="1"/>
        <v>3556.8</v>
      </c>
      <c r="E15" s="5">
        <f t="shared" si="2"/>
        <v>22276.8</v>
      </c>
      <c r="F15" s="5">
        <v>27731.0</v>
      </c>
      <c r="G15" s="5">
        <f t="shared" si="3"/>
        <v>5268.89</v>
      </c>
      <c r="H15" s="5">
        <f t="shared" si="4"/>
        <v>32999.89</v>
      </c>
    </row>
    <row r="16" ht="17.25" customHeight="1">
      <c r="A16" s="6">
        <v>15.0</v>
      </c>
      <c r="B16" s="7" t="s">
        <v>21</v>
      </c>
      <c r="C16" s="4">
        <v>18720.0</v>
      </c>
      <c r="D16" s="4">
        <f t="shared" si="1"/>
        <v>3556.8</v>
      </c>
      <c r="E16" s="5">
        <f t="shared" si="2"/>
        <v>22276.8</v>
      </c>
      <c r="F16" s="5">
        <v>27731.0</v>
      </c>
      <c r="G16" s="5">
        <f t="shared" si="3"/>
        <v>5268.89</v>
      </c>
      <c r="H16" s="5">
        <f t="shared" si="4"/>
        <v>32999.89</v>
      </c>
    </row>
    <row r="17" ht="17.25" customHeight="1">
      <c r="A17" s="2">
        <v>16.0</v>
      </c>
      <c r="B17" s="10" t="s">
        <v>22</v>
      </c>
      <c r="C17" s="4">
        <v>17227.0</v>
      </c>
      <c r="D17" s="4">
        <f t="shared" si="1"/>
        <v>3273.13</v>
      </c>
      <c r="E17" s="5">
        <f t="shared" si="2"/>
        <v>20500.13</v>
      </c>
      <c r="F17" s="5">
        <v>26891.0</v>
      </c>
      <c r="G17" s="5">
        <f t="shared" si="3"/>
        <v>5109.29</v>
      </c>
      <c r="H17" s="5">
        <f t="shared" si="4"/>
        <v>32000.29</v>
      </c>
    </row>
    <row r="18" ht="17.25" customHeight="1">
      <c r="A18" s="6">
        <v>17.0</v>
      </c>
      <c r="B18" s="10" t="s">
        <v>23</v>
      </c>
      <c r="C18" s="4">
        <v>17227.0</v>
      </c>
      <c r="D18" s="4">
        <f t="shared" si="1"/>
        <v>3273.13</v>
      </c>
      <c r="E18" s="5">
        <f t="shared" si="2"/>
        <v>20500.13</v>
      </c>
      <c r="F18" s="5">
        <v>26891.0</v>
      </c>
      <c r="G18" s="5">
        <f t="shared" si="3"/>
        <v>5109.29</v>
      </c>
      <c r="H18" s="5">
        <f t="shared" si="4"/>
        <v>32000.29</v>
      </c>
    </row>
    <row r="19" ht="17.25" customHeight="1">
      <c r="A19" s="6">
        <v>18.0</v>
      </c>
      <c r="B19" s="10" t="s">
        <v>24</v>
      </c>
      <c r="C19" s="4">
        <v>17227.0</v>
      </c>
      <c r="D19" s="4">
        <f t="shared" si="1"/>
        <v>3273.13</v>
      </c>
      <c r="E19" s="5">
        <f t="shared" si="2"/>
        <v>20500.13</v>
      </c>
      <c r="F19" s="5">
        <v>26891.0</v>
      </c>
      <c r="G19" s="5">
        <f t="shared" si="3"/>
        <v>5109.29</v>
      </c>
      <c r="H19" s="5">
        <f t="shared" si="4"/>
        <v>32000.29</v>
      </c>
    </row>
    <row r="20" ht="17.25" customHeight="1">
      <c r="A20" s="2">
        <v>19.0</v>
      </c>
      <c r="B20" s="7" t="s">
        <v>25</v>
      </c>
      <c r="C20" s="4">
        <v>29410.0</v>
      </c>
      <c r="D20" s="4">
        <f t="shared" si="1"/>
        <v>5587.9</v>
      </c>
      <c r="E20" s="5">
        <f t="shared" si="2"/>
        <v>34997.9</v>
      </c>
      <c r="F20" s="5">
        <v>58823.0</v>
      </c>
      <c r="G20" s="5">
        <f t="shared" si="3"/>
        <v>11176.37</v>
      </c>
      <c r="H20" s="5">
        <f t="shared" si="4"/>
        <v>69999.37</v>
      </c>
    </row>
    <row r="21" ht="17.25" customHeight="1">
      <c r="A21" s="6">
        <v>20.0</v>
      </c>
      <c r="B21" s="7" t="s">
        <v>26</v>
      </c>
      <c r="C21" s="4">
        <v>18720.0</v>
      </c>
      <c r="D21" s="4">
        <f t="shared" si="1"/>
        <v>3556.8</v>
      </c>
      <c r="E21" s="5">
        <f t="shared" si="2"/>
        <v>22276.8</v>
      </c>
      <c r="F21" s="5">
        <v>27731.0</v>
      </c>
      <c r="G21" s="5">
        <f t="shared" si="3"/>
        <v>5268.89</v>
      </c>
      <c r="H21" s="5">
        <f t="shared" si="4"/>
        <v>32999.89</v>
      </c>
    </row>
    <row r="22" ht="17.25" customHeight="1">
      <c r="A22" s="6">
        <v>21.0</v>
      </c>
      <c r="B22" s="7" t="s">
        <v>27</v>
      </c>
      <c r="C22" s="4">
        <v>19359.66386554622</v>
      </c>
      <c r="D22" s="4">
        <f t="shared" si="1"/>
        <v>3678.336134</v>
      </c>
      <c r="E22" s="5">
        <f t="shared" si="2"/>
        <v>23038</v>
      </c>
      <c r="F22" s="5">
        <v>30252.0</v>
      </c>
      <c r="G22" s="5">
        <f t="shared" si="3"/>
        <v>5747.88</v>
      </c>
      <c r="H22" s="5">
        <f t="shared" si="4"/>
        <v>35999.88</v>
      </c>
    </row>
    <row r="23" ht="17.25" customHeight="1">
      <c r="A23" s="2">
        <v>22.0</v>
      </c>
      <c r="B23" s="7" t="s">
        <v>28</v>
      </c>
      <c r="C23" s="4">
        <v>17500.0</v>
      </c>
      <c r="D23" s="4">
        <f t="shared" si="1"/>
        <v>3325</v>
      </c>
      <c r="E23" s="5">
        <f t="shared" si="2"/>
        <v>20825</v>
      </c>
      <c r="F23" s="5">
        <v>29412.0</v>
      </c>
      <c r="G23" s="5">
        <f t="shared" si="3"/>
        <v>5588.28</v>
      </c>
      <c r="H23" s="5">
        <f t="shared" si="4"/>
        <v>35000.28</v>
      </c>
    </row>
    <row r="24" ht="17.25" customHeight="1">
      <c r="A24" s="6">
        <v>23.0</v>
      </c>
      <c r="B24" s="7" t="s">
        <v>29</v>
      </c>
      <c r="C24" s="5">
        <v>25530.0</v>
      </c>
      <c r="D24" s="4">
        <f t="shared" si="1"/>
        <v>4850.7</v>
      </c>
      <c r="E24" s="5">
        <f t="shared" si="2"/>
        <v>30380.7</v>
      </c>
      <c r="F24" s="5">
        <v>31933.0</v>
      </c>
      <c r="G24" s="5">
        <f t="shared" si="3"/>
        <v>6067.27</v>
      </c>
      <c r="H24" s="5">
        <f t="shared" si="4"/>
        <v>38000.27</v>
      </c>
    </row>
    <row r="25" ht="17.25" customHeight="1">
      <c r="A25" s="6">
        <v>24.0</v>
      </c>
      <c r="B25" s="7" t="s">
        <v>30</v>
      </c>
      <c r="C25" s="5">
        <v>20315.0</v>
      </c>
      <c r="D25" s="4">
        <f t="shared" si="1"/>
        <v>3859.85</v>
      </c>
      <c r="E25" s="5">
        <f t="shared" si="2"/>
        <v>24174.85</v>
      </c>
      <c r="F25" s="5">
        <v>32689.0</v>
      </c>
      <c r="G25" s="5">
        <f t="shared" si="3"/>
        <v>6210.91</v>
      </c>
      <c r="H25" s="5">
        <f t="shared" si="4"/>
        <v>38899.91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7.25" customHeight="1">
      <c r="A26" s="2">
        <v>25.0</v>
      </c>
      <c r="B26" s="10" t="s">
        <v>31</v>
      </c>
      <c r="C26" s="5">
        <v>28151.0</v>
      </c>
      <c r="D26" s="4">
        <f t="shared" si="1"/>
        <v>5348.69</v>
      </c>
      <c r="E26" s="5">
        <f t="shared" si="2"/>
        <v>33499.69</v>
      </c>
      <c r="F26" s="5">
        <v>48739.0</v>
      </c>
      <c r="G26" s="5">
        <f t="shared" si="3"/>
        <v>9260.41</v>
      </c>
      <c r="H26" s="5">
        <f t="shared" si="4"/>
        <v>57999.41</v>
      </c>
    </row>
    <row r="27" ht="17.25" customHeight="1">
      <c r="A27" s="6">
        <v>26.0</v>
      </c>
      <c r="B27" s="10" t="s">
        <v>32</v>
      </c>
      <c r="C27" s="5">
        <v>28151.0</v>
      </c>
      <c r="D27" s="4">
        <f t="shared" si="1"/>
        <v>5348.69</v>
      </c>
      <c r="E27" s="5">
        <f t="shared" si="2"/>
        <v>33499.69</v>
      </c>
      <c r="F27" s="5">
        <v>48739.0</v>
      </c>
      <c r="G27" s="5">
        <f t="shared" si="3"/>
        <v>9260.41</v>
      </c>
      <c r="H27" s="5">
        <f t="shared" si="4"/>
        <v>57999.41</v>
      </c>
    </row>
    <row r="28" ht="17.25" customHeight="1">
      <c r="A28" s="6">
        <v>27.0</v>
      </c>
      <c r="B28" s="7" t="s">
        <v>33</v>
      </c>
      <c r="C28" s="4">
        <v>12154.0</v>
      </c>
      <c r="D28" s="4">
        <f t="shared" si="1"/>
        <v>2309.26</v>
      </c>
      <c r="E28" s="5">
        <f t="shared" si="2"/>
        <v>14463.26</v>
      </c>
      <c r="F28" s="5">
        <v>25126.0</v>
      </c>
      <c r="G28" s="5">
        <f t="shared" si="3"/>
        <v>4773.94</v>
      </c>
      <c r="H28" s="5">
        <f t="shared" si="4"/>
        <v>29899.94</v>
      </c>
    </row>
    <row r="29" ht="17.25" customHeight="1">
      <c r="A29" s="2">
        <v>28.0</v>
      </c>
      <c r="B29" s="7" t="s">
        <v>34</v>
      </c>
      <c r="C29" s="4">
        <v>23721.0</v>
      </c>
      <c r="D29" s="4">
        <f t="shared" si="1"/>
        <v>4506.99</v>
      </c>
      <c r="E29" s="5">
        <f t="shared" si="2"/>
        <v>28227.99</v>
      </c>
      <c r="F29" s="5">
        <v>39412.0</v>
      </c>
      <c r="G29" s="5">
        <f t="shared" si="3"/>
        <v>7488.28</v>
      </c>
      <c r="H29" s="5">
        <f t="shared" si="4"/>
        <v>46900.28</v>
      </c>
    </row>
    <row r="30" ht="17.25" customHeight="1">
      <c r="A30" s="6">
        <v>29.0</v>
      </c>
      <c r="B30" s="7" t="s">
        <v>35</v>
      </c>
      <c r="C30" s="4">
        <v>18104.0</v>
      </c>
      <c r="D30" s="4">
        <f t="shared" si="1"/>
        <v>3439.76</v>
      </c>
      <c r="E30" s="5">
        <f t="shared" si="2"/>
        <v>21543.76</v>
      </c>
      <c r="F30" s="5">
        <v>26807.0</v>
      </c>
      <c r="G30" s="5">
        <f t="shared" si="3"/>
        <v>5093.33</v>
      </c>
      <c r="H30" s="5">
        <f t="shared" si="4"/>
        <v>31900.33</v>
      </c>
    </row>
    <row r="31" ht="17.25" customHeight="1">
      <c r="A31" s="6">
        <v>30.0</v>
      </c>
      <c r="B31" s="7" t="s">
        <v>36</v>
      </c>
      <c r="C31" s="4">
        <v>4202.0</v>
      </c>
      <c r="D31" s="4">
        <f t="shared" si="1"/>
        <v>798.38</v>
      </c>
      <c r="E31" s="5">
        <f t="shared" si="2"/>
        <v>5000.38</v>
      </c>
      <c r="F31" s="5">
        <v>8403.0</v>
      </c>
      <c r="G31" s="5">
        <f t="shared" si="3"/>
        <v>1596.57</v>
      </c>
      <c r="H31" s="5">
        <f t="shared" si="4"/>
        <v>9999.57</v>
      </c>
    </row>
    <row r="32" ht="17.25" customHeight="1">
      <c r="A32" s="2">
        <v>31.0</v>
      </c>
      <c r="B32" s="7" t="s">
        <v>37</v>
      </c>
      <c r="C32" s="4">
        <v>4202.0</v>
      </c>
      <c r="D32" s="4">
        <f t="shared" si="1"/>
        <v>798.38</v>
      </c>
      <c r="E32" s="5">
        <f t="shared" si="2"/>
        <v>5000.38</v>
      </c>
      <c r="F32" s="5">
        <v>8403.0</v>
      </c>
      <c r="G32" s="5">
        <f t="shared" si="3"/>
        <v>1596.57</v>
      </c>
      <c r="H32" s="5">
        <f t="shared" si="4"/>
        <v>9999.57</v>
      </c>
    </row>
    <row r="33" ht="17.25" customHeight="1">
      <c r="A33" s="6">
        <v>32.0</v>
      </c>
      <c r="B33" s="7" t="s">
        <v>38</v>
      </c>
      <c r="C33" s="4">
        <v>4202.0</v>
      </c>
      <c r="D33" s="4">
        <f t="shared" si="1"/>
        <v>798.38</v>
      </c>
      <c r="E33" s="5">
        <f t="shared" si="2"/>
        <v>5000.38</v>
      </c>
      <c r="F33" s="5">
        <v>8403.0</v>
      </c>
      <c r="G33" s="5">
        <f t="shared" si="3"/>
        <v>1596.57</v>
      </c>
      <c r="H33" s="5">
        <f t="shared" si="4"/>
        <v>9999.57</v>
      </c>
    </row>
    <row r="34" ht="17.25" customHeight="1">
      <c r="A34" s="6">
        <v>33.0</v>
      </c>
      <c r="B34" s="7" t="s">
        <v>39</v>
      </c>
      <c r="C34" s="4">
        <v>4202.0</v>
      </c>
      <c r="D34" s="4">
        <f t="shared" si="1"/>
        <v>798.38</v>
      </c>
      <c r="E34" s="5">
        <f t="shared" si="2"/>
        <v>5000.38</v>
      </c>
      <c r="F34" s="5">
        <v>8403.0</v>
      </c>
      <c r="G34" s="5">
        <f t="shared" si="3"/>
        <v>1596.57</v>
      </c>
      <c r="H34" s="5">
        <f t="shared" si="4"/>
        <v>9999.57</v>
      </c>
    </row>
    <row r="35" ht="17.25" customHeight="1">
      <c r="A35" s="2">
        <v>34.0</v>
      </c>
      <c r="B35" s="7" t="s">
        <v>40</v>
      </c>
      <c r="C35" s="4">
        <v>5042.0</v>
      </c>
      <c r="D35" s="4">
        <f t="shared" si="1"/>
        <v>957.98</v>
      </c>
      <c r="E35" s="5">
        <f t="shared" si="2"/>
        <v>5999.98</v>
      </c>
      <c r="F35" s="5">
        <v>10840.0</v>
      </c>
      <c r="G35" s="5">
        <f t="shared" si="3"/>
        <v>2059.6</v>
      </c>
      <c r="H35" s="5">
        <f t="shared" si="4"/>
        <v>12899.6</v>
      </c>
    </row>
    <row r="36" ht="17.25" customHeight="1">
      <c r="A36" s="6">
        <v>35.0</v>
      </c>
      <c r="B36" s="7" t="s">
        <v>41</v>
      </c>
      <c r="C36" s="4">
        <v>6700.0</v>
      </c>
      <c r="D36" s="4">
        <f t="shared" si="1"/>
        <v>1273</v>
      </c>
      <c r="E36" s="5">
        <f t="shared" si="2"/>
        <v>7973</v>
      </c>
      <c r="F36" s="5">
        <v>11764.0</v>
      </c>
      <c r="G36" s="5">
        <f t="shared" si="3"/>
        <v>2235.16</v>
      </c>
      <c r="H36" s="5">
        <f t="shared" si="4"/>
        <v>13999.16</v>
      </c>
    </row>
    <row r="37" ht="17.25" customHeight="1">
      <c r="A37" s="6">
        <v>36.0</v>
      </c>
      <c r="B37" s="7" t="s">
        <v>42</v>
      </c>
      <c r="C37" s="4">
        <v>4202.0</v>
      </c>
      <c r="D37" s="4">
        <f t="shared" si="1"/>
        <v>798.38</v>
      </c>
      <c r="E37" s="5">
        <f t="shared" si="2"/>
        <v>5000.38</v>
      </c>
      <c r="F37" s="5">
        <v>8403.0</v>
      </c>
      <c r="G37" s="5">
        <f t="shared" si="3"/>
        <v>1596.57</v>
      </c>
      <c r="H37" s="5">
        <f t="shared" si="4"/>
        <v>9999.57</v>
      </c>
    </row>
    <row r="38" ht="17.25" customHeight="1">
      <c r="A38" s="2">
        <v>37.0</v>
      </c>
      <c r="B38" s="7" t="s">
        <v>43</v>
      </c>
      <c r="C38" s="4">
        <v>4202.0</v>
      </c>
      <c r="D38" s="4">
        <f t="shared" si="1"/>
        <v>798.38</v>
      </c>
      <c r="E38" s="5">
        <f t="shared" si="2"/>
        <v>5000.38</v>
      </c>
      <c r="F38" s="5">
        <v>8403.0</v>
      </c>
      <c r="G38" s="5">
        <f t="shared" si="3"/>
        <v>1596.57</v>
      </c>
      <c r="H38" s="5">
        <f t="shared" si="4"/>
        <v>9999.57</v>
      </c>
    </row>
    <row r="39" ht="17.25" customHeight="1">
      <c r="A39" s="6">
        <v>38.0</v>
      </c>
      <c r="B39" s="7" t="s">
        <v>44</v>
      </c>
      <c r="C39" s="4">
        <v>5630.0</v>
      </c>
      <c r="D39" s="4">
        <f t="shared" si="1"/>
        <v>1069.7</v>
      </c>
      <c r="E39" s="5">
        <f t="shared" si="2"/>
        <v>6699.7</v>
      </c>
      <c r="F39" s="5">
        <v>10924.0</v>
      </c>
      <c r="G39" s="5">
        <f t="shared" si="3"/>
        <v>2075.56</v>
      </c>
      <c r="H39" s="5">
        <f t="shared" si="4"/>
        <v>12999.56</v>
      </c>
    </row>
    <row r="40" ht="17.25" customHeight="1">
      <c r="A40" s="6">
        <v>39.0</v>
      </c>
      <c r="B40" s="8" t="s">
        <v>45</v>
      </c>
      <c r="C40" s="5">
        <v>19280.0</v>
      </c>
      <c r="D40" s="4">
        <f t="shared" si="1"/>
        <v>3663.2</v>
      </c>
      <c r="E40" s="5">
        <f t="shared" si="2"/>
        <v>22943.2</v>
      </c>
      <c r="F40" s="5">
        <v>31092.0</v>
      </c>
      <c r="G40" s="5">
        <f t="shared" si="3"/>
        <v>5907.48</v>
      </c>
      <c r="H40" s="5">
        <f t="shared" si="4"/>
        <v>36999.48</v>
      </c>
    </row>
    <row r="41" ht="17.25" customHeight="1">
      <c r="A41" s="2">
        <v>40.0</v>
      </c>
      <c r="B41" s="7" t="s">
        <v>46</v>
      </c>
      <c r="C41" s="5">
        <v>20168.0</v>
      </c>
      <c r="D41" s="4">
        <f t="shared" si="1"/>
        <v>3831.92</v>
      </c>
      <c r="E41" s="5">
        <f t="shared" si="2"/>
        <v>23999.92</v>
      </c>
      <c r="F41" s="5">
        <v>35294.0</v>
      </c>
      <c r="G41" s="5">
        <f t="shared" si="3"/>
        <v>6705.86</v>
      </c>
      <c r="H41" s="5">
        <f t="shared" si="4"/>
        <v>41999.86</v>
      </c>
    </row>
    <row r="42" ht="17.25" customHeight="1">
      <c r="A42" s="6">
        <v>41.0</v>
      </c>
      <c r="B42" s="11" t="s">
        <v>47</v>
      </c>
      <c r="C42" s="5">
        <v>6360.0</v>
      </c>
      <c r="D42" s="4">
        <f t="shared" si="1"/>
        <v>1208.4</v>
      </c>
      <c r="E42" s="5">
        <f t="shared" si="2"/>
        <v>7568.4</v>
      </c>
      <c r="F42" s="5">
        <v>10840.0</v>
      </c>
      <c r="G42" s="5">
        <f t="shared" si="3"/>
        <v>2059.6</v>
      </c>
      <c r="H42" s="5">
        <f t="shared" si="4"/>
        <v>12899.6</v>
      </c>
    </row>
    <row r="43" ht="17.25" customHeight="1">
      <c r="A43" s="6">
        <v>42.0</v>
      </c>
      <c r="B43" s="11" t="s">
        <v>48</v>
      </c>
      <c r="C43" s="5">
        <v>6360.0</v>
      </c>
      <c r="D43" s="4">
        <f t="shared" si="1"/>
        <v>1208.4</v>
      </c>
      <c r="E43" s="5">
        <f t="shared" si="2"/>
        <v>7568.4</v>
      </c>
      <c r="F43" s="5">
        <v>10840.0</v>
      </c>
      <c r="G43" s="5">
        <f t="shared" si="3"/>
        <v>2059.6</v>
      </c>
      <c r="H43" s="5">
        <f t="shared" si="4"/>
        <v>12899.6</v>
      </c>
    </row>
    <row r="44" ht="17.25" customHeight="1">
      <c r="A44" s="2">
        <v>43.0</v>
      </c>
      <c r="B44" s="3" t="s">
        <v>49</v>
      </c>
      <c r="C44" s="5">
        <v>20210.0</v>
      </c>
      <c r="D44" s="4">
        <f t="shared" si="1"/>
        <v>3839.9</v>
      </c>
      <c r="E44" s="5">
        <f t="shared" si="2"/>
        <v>24049.9</v>
      </c>
      <c r="F44" s="5">
        <v>31092.0</v>
      </c>
      <c r="G44" s="5">
        <f t="shared" si="3"/>
        <v>5907.48</v>
      </c>
      <c r="H44" s="5">
        <f t="shared" si="4"/>
        <v>36999.48</v>
      </c>
    </row>
    <row r="45" ht="17.25" customHeight="1">
      <c r="A45" s="6">
        <v>44.0</v>
      </c>
      <c r="B45" s="3" t="s">
        <v>50</v>
      </c>
      <c r="C45" s="5">
        <v>12818.0</v>
      </c>
      <c r="D45" s="4">
        <f t="shared" si="1"/>
        <v>2435.42</v>
      </c>
      <c r="E45" s="5">
        <f t="shared" si="2"/>
        <v>15253.42</v>
      </c>
      <c r="F45" s="5">
        <v>26891.0</v>
      </c>
      <c r="G45" s="5">
        <f t="shared" si="3"/>
        <v>5109.29</v>
      </c>
      <c r="H45" s="5">
        <f t="shared" si="4"/>
        <v>32000.29</v>
      </c>
    </row>
    <row r="46" ht="17.25" customHeight="1">
      <c r="A46" s="6">
        <v>45.0</v>
      </c>
      <c r="B46" s="3" t="s">
        <v>51</v>
      </c>
      <c r="C46" s="5">
        <v>12818.0</v>
      </c>
      <c r="D46" s="4">
        <f t="shared" si="1"/>
        <v>2435.42</v>
      </c>
      <c r="E46" s="5">
        <f t="shared" si="2"/>
        <v>15253.42</v>
      </c>
      <c r="F46" s="5">
        <v>26891.0</v>
      </c>
      <c r="G46" s="5">
        <f t="shared" si="3"/>
        <v>5109.29</v>
      </c>
      <c r="H46" s="5">
        <f t="shared" si="4"/>
        <v>32000.29</v>
      </c>
    </row>
    <row r="47" ht="17.25" customHeight="1">
      <c r="A47" s="2">
        <v>46.0</v>
      </c>
      <c r="B47" s="3" t="s">
        <v>52</v>
      </c>
      <c r="C47" s="5">
        <v>12818.0</v>
      </c>
      <c r="D47" s="4">
        <f t="shared" si="1"/>
        <v>2435.42</v>
      </c>
      <c r="E47" s="5">
        <f t="shared" si="2"/>
        <v>15253.42</v>
      </c>
      <c r="F47" s="5">
        <v>26891.0</v>
      </c>
      <c r="G47" s="5">
        <f t="shared" si="3"/>
        <v>5109.29</v>
      </c>
      <c r="H47" s="5">
        <f t="shared" si="4"/>
        <v>32000.29</v>
      </c>
    </row>
    <row r="48" ht="17.25" customHeight="1">
      <c r="A48" s="6">
        <v>47.0</v>
      </c>
      <c r="B48" s="3" t="s">
        <v>53</v>
      </c>
      <c r="C48" s="5">
        <v>12818.0</v>
      </c>
      <c r="D48" s="4">
        <f t="shared" si="1"/>
        <v>2435.42</v>
      </c>
      <c r="E48" s="5">
        <f t="shared" si="2"/>
        <v>15253.42</v>
      </c>
      <c r="F48" s="5">
        <v>26891.0</v>
      </c>
      <c r="G48" s="5">
        <f t="shared" si="3"/>
        <v>5109.29</v>
      </c>
      <c r="H48" s="5">
        <f t="shared" si="4"/>
        <v>32000.29</v>
      </c>
    </row>
    <row r="49" ht="17.25" customHeight="1">
      <c r="A49" s="6">
        <v>48.0</v>
      </c>
      <c r="B49" s="3" t="s">
        <v>54</v>
      </c>
      <c r="C49" s="5">
        <v>12818.0</v>
      </c>
      <c r="D49" s="4">
        <f t="shared" si="1"/>
        <v>2435.42</v>
      </c>
      <c r="E49" s="5">
        <f t="shared" si="2"/>
        <v>15253.42</v>
      </c>
      <c r="F49" s="5">
        <v>26891.0</v>
      </c>
      <c r="G49" s="5">
        <f t="shared" si="3"/>
        <v>5109.29</v>
      </c>
      <c r="H49" s="5">
        <f t="shared" si="4"/>
        <v>32000.29</v>
      </c>
    </row>
    <row r="50" ht="17.25" customHeight="1">
      <c r="A50" s="2">
        <v>49.0</v>
      </c>
      <c r="B50" s="11" t="s">
        <v>55</v>
      </c>
      <c r="C50" s="5">
        <v>12818.0</v>
      </c>
      <c r="D50" s="4">
        <f t="shared" si="1"/>
        <v>2435.42</v>
      </c>
      <c r="E50" s="5">
        <f t="shared" si="2"/>
        <v>15253.42</v>
      </c>
      <c r="F50" s="5">
        <v>26891.0</v>
      </c>
      <c r="G50" s="5">
        <f t="shared" si="3"/>
        <v>5109.29</v>
      </c>
      <c r="H50" s="5">
        <f t="shared" si="4"/>
        <v>32000.29</v>
      </c>
    </row>
    <row r="51" ht="17.25" customHeight="1">
      <c r="A51" s="6">
        <v>50.0</v>
      </c>
      <c r="B51" s="3" t="s">
        <v>56</v>
      </c>
      <c r="C51" s="5">
        <v>16600.0</v>
      </c>
      <c r="D51" s="4">
        <f t="shared" si="1"/>
        <v>3154</v>
      </c>
      <c r="E51" s="5">
        <f t="shared" si="2"/>
        <v>19754</v>
      </c>
      <c r="F51" s="5">
        <v>29412.0</v>
      </c>
      <c r="G51" s="5">
        <f t="shared" si="3"/>
        <v>5588.28</v>
      </c>
      <c r="H51" s="5">
        <f t="shared" si="4"/>
        <v>35000.28</v>
      </c>
    </row>
    <row r="52" ht="17.25" customHeight="1">
      <c r="A52" s="6">
        <v>51.0</v>
      </c>
      <c r="B52" s="3" t="s">
        <v>57</v>
      </c>
      <c r="C52" s="5">
        <v>20749.0</v>
      </c>
      <c r="D52" s="4">
        <f t="shared" si="1"/>
        <v>3942.31</v>
      </c>
      <c r="E52" s="5">
        <f t="shared" si="2"/>
        <v>24691.31</v>
      </c>
      <c r="F52" s="5">
        <v>37732.0</v>
      </c>
      <c r="G52" s="5">
        <f t="shared" si="3"/>
        <v>7169.08</v>
      </c>
      <c r="H52" s="5">
        <f t="shared" si="4"/>
        <v>44901.08</v>
      </c>
    </row>
    <row r="53" ht="17.25" customHeight="1">
      <c r="A53" s="2">
        <v>52.0</v>
      </c>
      <c r="B53" s="3" t="s">
        <v>58</v>
      </c>
      <c r="C53" s="5">
        <v>18580.0</v>
      </c>
      <c r="D53" s="4">
        <f t="shared" si="1"/>
        <v>3530.2</v>
      </c>
      <c r="E53" s="5">
        <f t="shared" si="2"/>
        <v>22110.2</v>
      </c>
      <c r="F53" s="5">
        <v>27731.0</v>
      </c>
      <c r="G53" s="5">
        <f t="shared" si="3"/>
        <v>5268.89</v>
      </c>
      <c r="H53" s="5">
        <f t="shared" si="4"/>
        <v>32999.89</v>
      </c>
    </row>
    <row r="54" ht="17.25" customHeight="1">
      <c r="A54" s="6">
        <v>53.0</v>
      </c>
      <c r="B54" s="3" t="s">
        <v>59</v>
      </c>
      <c r="C54" s="5">
        <v>23629.0</v>
      </c>
      <c r="D54" s="4">
        <f t="shared" si="1"/>
        <v>4489.51</v>
      </c>
      <c r="E54" s="5">
        <f t="shared" si="2"/>
        <v>28118.51</v>
      </c>
      <c r="F54" s="5">
        <v>38572.0</v>
      </c>
      <c r="G54" s="5">
        <f t="shared" si="3"/>
        <v>7328.68</v>
      </c>
      <c r="H54" s="5">
        <f t="shared" si="4"/>
        <v>45900.68</v>
      </c>
    </row>
    <row r="55" ht="17.25" customHeight="1">
      <c r="A55" s="6">
        <v>54.0</v>
      </c>
      <c r="B55" s="3" t="s">
        <v>60</v>
      </c>
      <c r="C55" s="5">
        <v>36842.0</v>
      </c>
      <c r="D55" s="4">
        <f t="shared" si="1"/>
        <v>6999.98</v>
      </c>
      <c r="E55" s="5">
        <f t="shared" si="2"/>
        <v>43841.98</v>
      </c>
      <c r="F55" s="5">
        <v>46471.0</v>
      </c>
      <c r="G55" s="5">
        <f t="shared" si="3"/>
        <v>8829.49</v>
      </c>
      <c r="H55" s="5">
        <f t="shared" si="4"/>
        <v>55300.49</v>
      </c>
    </row>
    <row r="56" ht="17.25" customHeight="1">
      <c r="A56" s="2">
        <v>55.0</v>
      </c>
      <c r="B56" s="3" t="s">
        <v>61</v>
      </c>
      <c r="C56" s="5">
        <v>21722.0</v>
      </c>
      <c r="D56" s="4">
        <f t="shared" si="1"/>
        <v>4127.18</v>
      </c>
      <c r="E56" s="5">
        <f t="shared" si="2"/>
        <v>25849.18</v>
      </c>
      <c r="F56" s="5">
        <v>47815.0</v>
      </c>
      <c r="G56" s="5">
        <f t="shared" si="3"/>
        <v>9084.85</v>
      </c>
      <c r="H56" s="5">
        <f t="shared" si="4"/>
        <v>56899.85</v>
      </c>
    </row>
    <row r="57" ht="17.25" customHeight="1">
      <c r="A57" s="6">
        <v>56.0</v>
      </c>
      <c r="B57" s="3" t="s">
        <v>62</v>
      </c>
      <c r="C57" s="5">
        <v>21362.0</v>
      </c>
      <c r="D57" s="4">
        <f t="shared" si="1"/>
        <v>4058.78</v>
      </c>
      <c r="E57" s="5">
        <f t="shared" si="2"/>
        <v>25420.78</v>
      </c>
      <c r="F57" s="5">
        <v>42857.0</v>
      </c>
      <c r="G57" s="5">
        <f t="shared" si="3"/>
        <v>8142.83</v>
      </c>
      <c r="H57" s="5">
        <f t="shared" si="4"/>
        <v>50999.83</v>
      </c>
    </row>
    <row r="58" ht="17.25" customHeight="1">
      <c r="A58" s="6">
        <v>57.0</v>
      </c>
      <c r="B58" s="3" t="s">
        <v>63</v>
      </c>
      <c r="C58" s="5">
        <v>16600.0</v>
      </c>
      <c r="D58" s="4">
        <f t="shared" si="1"/>
        <v>3154</v>
      </c>
      <c r="E58" s="5">
        <f t="shared" si="2"/>
        <v>19754</v>
      </c>
      <c r="F58" s="5">
        <v>28908.0</v>
      </c>
      <c r="G58" s="5">
        <f t="shared" si="3"/>
        <v>5492.52</v>
      </c>
      <c r="H58" s="5">
        <f t="shared" si="4"/>
        <v>34400.52</v>
      </c>
    </row>
    <row r="59" ht="17.25" customHeight="1">
      <c r="A59" s="2">
        <v>58.0</v>
      </c>
      <c r="B59" s="8" t="s">
        <v>64</v>
      </c>
      <c r="C59" s="5">
        <v>22236.0</v>
      </c>
      <c r="D59" s="4">
        <f t="shared" si="1"/>
        <v>4224.84</v>
      </c>
      <c r="E59" s="5">
        <f t="shared" si="2"/>
        <v>26460.84</v>
      </c>
      <c r="F59" s="5">
        <v>29664.0</v>
      </c>
      <c r="G59" s="5">
        <f t="shared" si="3"/>
        <v>5636.16</v>
      </c>
      <c r="H59" s="5">
        <f t="shared" si="4"/>
        <v>35300.16</v>
      </c>
    </row>
    <row r="60" ht="17.25" customHeight="1">
      <c r="A60" s="6">
        <v>59.0</v>
      </c>
      <c r="B60" s="3" t="s">
        <v>65</v>
      </c>
      <c r="C60" s="5">
        <v>21845.0</v>
      </c>
      <c r="D60" s="4">
        <f t="shared" si="1"/>
        <v>4150.55</v>
      </c>
      <c r="E60" s="5">
        <f t="shared" si="2"/>
        <v>25995.55</v>
      </c>
      <c r="F60" s="5">
        <v>26639.0</v>
      </c>
      <c r="G60" s="5">
        <f t="shared" si="3"/>
        <v>5061.41</v>
      </c>
      <c r="H60" s="5">
        <f t="shared" si="4"/>
        <v>31700.41</v>
      </c>
    </row>
    <row r="61" ht="17.25" customHeight="1">
      <c r="A61" s="6">
        <v>60.0</v>
      </c>
      <c r="B61" s="12" t="s">
        <v>66</v>
      </c>
      <c r="C61" s="5">
        <v>9244.0</v>
      </c>
      <c r="D61" s="4">
        <f t="shared" si="1"/>
        <v>1756.36</v>
      </c>
      <c r="E61" s="5">
        <f t="shared" si="2"/>
        <v>11000.36</v>
      </c>
      <c r="F61" s="5">
        <v>20168.0</v>
      </c>
      <c r="G61" s="5">
        <f t="shared" si="3"/>
        <v>3831.92</v>
      </c>
      <c r="H61" s="5">
        <f t="shared" si="4"/>
        <v>23999.92</v>
      </c>
    </row>
    <row r="62" ht="17.25" customHeight="1">
      <c r="A62" s="2">
        <v>61.0</v>
      </c>
      <c r="B62" s="12" t="s">
        <v>67</v>
      </c>
      <c r="C62" s="5">
        <v>9244.0</v>
      </c>
      <c r="D62" s="4">
        <f t="shared" si="1"/>
        <v>1756.36</v>
      </c>
      <c r="E62" s="5">
        <f t="shared" si="2"/>
        <v>11000.36</v>
      </c>
      <c r="F62" s="5">
        <v>20168.0</v>
      </c>
      <c r="G62" s="5">
        <f t="shared" si="3"/>
        <v>3831.92</v>
      </c>
      <c r="H62" s="5">
        <f t="shared" si="4"/>
        <v>23999.92</v>
      </c>
    </row>
    <row r="63" ht="17.25" customHeight="1">
      <c r="A63" s="6">
        <v>62.0</v>
      </c>
      <c r="B63" s="8" t="s">
        <v>68</v>
      </c>
      <c r="C63" s="5">
        <v>5100.0</v>
      </c>
      <c r="D63" s="4">
        <f t="shared" si="1"/>
        <v>969</v>
      </c>
      <c r="E63" s="5">
        <f t="shared" si="2"/>
        <v>6069</v>
      </c>
      <c r="F63" s="5">
        <v>20168.0</v>
      </c>
      <c r="G63" s="5">
        <f t="shared" si="3"/>
        <v>3831.92</v>
      </c>
      <c r="H63" s="5">
        <f t="shared" si="4"/>
        <v>23999.92</v>
      </c>
    </row>
    <row r="64" ht="17.25" customHeight="1">
      <c r="A64" s="6">
        <v>63.0</v>
      </c>
      <c r="B64" s="8" t="s">
        <v>69</v>
      </c>
      <c r="C64" s="5">
        <v>7000.0</v>
      </c>
      <c r="D64" s="4">
        <f t="shared" si="1"/>
        <v>1330</v>
      </c>
      <c r="E64" s="5">
        <f t="shared" si="2"/>
        <v>8330</v>
      </c>
      <c r="F64" s="5">
        <v>29412.0</v>
      </c>
      <c r="G64" s="5">
        <f t="shared" si="3"/>
        <v>5588.28</v>
      </c>
      <c r="H64" s="5">
        <f t="shared" si="4"/>
        <v>35000.28</v>
      </c>
    </row>
    <row r="65" ht="17.25" customHeight="1">
      <c r="A65" s="2">
        <v>64.0</v>
      </c>
      <c r="B65" s="8" t="s">
        <v>70</v>
      </c>
      <c r="C65" s="5">
        <v>32300.0</v>
      </c>
      <c r="D65" s="4">
        <f t="shared" si="1"/>
        <v>6137</v>
      </c>
      <c r="E65" s="5">
        <f t="shared" si="2"/>
        <v>38437</v>
      </c>
      <c r="F65" s="5">
        <v>58740.0</v>
      </c>
      <c r="G65" s="5">
        <f t="shared" si="3"/>
        <v>11160.6</v>
      </c>
      <c r="H65" s="5">
        <f t="shared" si="4"/>
        <v>69900.6</v>
      </c>
    </row>
    <row r="66" ht="17.25" customHeight="1">
      <c r="A66" s="6">
        <v>65.0</v>
      </c>
      <c r="B66" s="11" t="s">
        <v>71</v>
      </c>
      <c r="C66" s="5">
        <v>250.0</v>
      </c>
      <c r="D66" s="4">
        <f t="shared" si="1"/>
        <v>47.5</v>
      </c>
      <c r="E66" s="5">
        <f t="shared" si="2"/>
        <v>297.5</v>
      </c>
      <c r="F66" s="5">
        <v>420.0</v>
      </c>
      <c r="G66" s="5">
        <f t="shared" si="3"/>
        <v>79.8</v>
      </c>
      <c r="H66" s="5">
        <f t="shared" si="4"/>
        <v>499.8</v>
      </c>
    </row>
    <row r="67" ht="17.25" customHeight="1">
      <c r="A67" s="6">
        <v>66.0</v>
      </c>
      <c r="B67" s="3" t="s">
        <v>72</v>
      </c>
      <c r="C67" s="5">
        <v>4726.0</v>
      </c>
      <c r="D67" s="4">
        <f t="shared" si="1"/>
        <v>897.94</v>
      </c>
      <c r="E67" s="5">
        <f t="shared" si="2"/>
        <v>5623.94</v>
      </c>
      <c r="F67" s="5">
        <v>10084.0</v>
      </c>
      <c r="G67" s="5">
        <f t="shared" si="3"/>
        <v>1915.96</v>
      </c>
      <c r="H67" s="5">
        <f t="shared" si="4"/>
        <v>11999.96</v>
      </c>
    </row>
    <row r="68" ht="17.25" customHeight="1">
      <c r="A68" s="13"/>
      <c r="B68" s="13"/>
      <c r="C68" s="13"/>
      <c r="D68" s="13"/>
      <c r="E68" s="13"/>
    </row>
    <row r="69" ht="17.25" customHeight="1">
      <c r="A69" s="13"/>
      <c r="B69" s="13"/>
      <c r="C69" s="13"/>
      <c r="D69" s="13"/>
      <c r="E69" s="13"/>
    </row>
    <row r="70" ht="17.25" customHeight="1">
      <c r="A70" s="14"/>
      <c r="B70" s="14"/>
      <c r="C70" s="14"/>
      <c r="D70" s="14"/>
      <c r="E70" s="14"/>
      <c r="F70" s="15"/>
      <c r="G70" s="15"/>
      <c r="H70" s="1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>
      <c r="A1" s="16" t="s">
        <v>73</v>
      </c>
    </row>
    <row r="2">
      <c r="A2" s="17" t="s">
        <v>74</v>
      </c>
    </row>
    <row r="3">
      <c r="A3" s="17" t="s">
        <v>75</v>
      </c>
    </row>
    <row r="4">
      <c r="A4" s="16" t="s">
        <v>76</v>
      </c>
    </row>
    <row r="5">
      <c r="A5" s="17" t="s">
        <v>77</v>
      </c>
    </row>
    <row r="6">
      <c r="A6" s="17" t="s">
        <v>78</v>
      </c>
    </row>
    <row r="7">
      <c r="A7" s="17" t="s">
        <v>79</v>
      </c>
    </row>
    <row r="8">
      <c r="A8" s="16" t="s">
        <v>80</v>
      </c>
    </row>
    <row r="9">
      <c r="A9" s="17" t="s">
        <v>81</v>
      </c>
    </row>
    <row r="10">
      <c r="A10" s="17" t="s">
        <v>82</v>
      </c>
    </row>
    <row r="11">
      <c r="A11" s="17" t="s">
        <v>83</v>
      </c>
    </row>
    <row r="12">
      <c r="A12" s="17" t="s">
        <v>84</v>
      </c>
    </row>
    <row r="13">
      <c r="A13" s="16" t="s">
        <v>85</v>
      </c>
    </row>
    <row r="14">
      <c r="A14" s="17" t="s">
        <v>86</v>
      </c>
    </row>
    <row r="15">
      <c r="A15" s="17" t="s">
        <v>87</v>
      </c>
    </row>
    <row r="16">
      <c r="A16" s="17" t="s">
        <v>88</v>
      </c>
    </row>
    <row r="17">
      <c r="A17" s="16" t="s">
        <v>89</v>
      </c>
    </row>
    <row r="18">
      <c r="A18" s="16" t="s">
        <v>90</v>
      </c>
    </row>
    <row r="19">
      <c r="A19" s="17" t="s">
        <v>91</v>
      </c>
    </row>
    <row r="20">
      <c r="A20" s="17" t="s">
        <v>92</v>
      </c>
    </row>
    <row r="21">
      <c r="A21" s="16" t="s">
        <v>93</v>
      </c>
    </row>
    <row r="22">
      <c r="A22" s="17" t="s">
        <v>94</v>
      </c>
    </row>
    <row r="23">
      <c r="A23" s="17" t="s">
        <v>95</v>
      </c>
    </row>
    <row r="24">
      <c r="A24" s="18" t="s">
        <v>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>
      <c r="A1" s="16" t="s">
        <v>97</v>
      </c>
    </row>
    <row r="2">
      <c r="A2" s="17" t="s">
        <v>98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2021-12-14T15:23:17Z</dcterms:created>
  <dc:creator>Pc1</dc:creator>
</cp:coreProperties>
</file>